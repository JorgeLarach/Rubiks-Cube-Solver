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<sst xmlns="http://schemas.openxmlformats.org/spreadsheetml/2006/main" count="11" uniqueCount="10">
  <si>
    <t>Scramble Moves</t>
  </si>
  <si>
    <t>P1 Time(ms)</t>
  </si>
  <si>
    <t>P1 Nodes</t>
  </si>
  <si>
    <t>P1 Depth</t>
  </si>
  <si>
    <t>P1 EBF</t>
  </si>
  <si>
    <t>P2 Time(ms)</t>
  </si>
  <si>
    <t>P2 Nodes</t>
  </si>
  <si>
    <t>P2 Depth</t>
  </si>
  <si>
    <t>P2 EBF</t>
  </si>
  <si>
    <t>b*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</si>
</sst>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Phase 1 and Phase 2 Nodes Explored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Sheet1!$A$2:$A$1000</c:f>
            </c:strRef>
          </c:cat>
          <c:val>
            <c:numRef>
              <c:f>Sheet1!$C$2:$C$1000</c:f>
              <c:numCache/>
            </c:numRef>
          </c:val>
          <c:smooth val="0"/>
        </c:ser>
        <c:ser>
          <c:idx val="1"/>
          <c:order val="1"/>
          <c:tx>
            <c:strRef>
              <c:f>Sheet1!$I$1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Sheet1!$A$2:$A$1000</c:f>
            </c:strRef>
          </c:cat>
          <c:val>
            <c:numRef>
              <c:f>Sheet1!$I$2:$I$1000</c:f>
              <c:numCache/>
            </c:numRef>
          </c:val>
          <c:smooth val="0"/>
        </c:ser>
        <c:axId val="1331989491"/>
        <c:axId val="757277785"/>
      </c:lineChart>
      <c:catAx>
        <c:axId val="13319894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N-Moves Scrambled Cube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7277785"/>
      </c:catAx>
      <c:valAx>
        <c:axId val="7572777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Nodes Explored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19894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Phase 1 and Phase 2 Solve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v>P1 Time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Sheet1!$A$2:$A$1000</c:f>
            </c:strRef>
          </c:cat>
          <c:val>
            <c:numRef>
              <c:f>Sheet1!$B$2:$B$1000</c:f>
              <c:numCache/>
            </c:numRef>
          </c:val>
          <c:smooth val="0"/>
        </c:ser>
        <c:ser>
          <c:idx val="1"/>
          <c:order val="1"/>
          <c:tx>
            <c:v>P2 Time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Sheet1!$A$2:$A$1000</c:f>
            </c:strRef>
          </c:cat>
          <c:val>
            <c:numRef>
              <c:f>Sheet1!$H$2:$H$1000</c:f>
              <c:numCache/>
            </c:numRef>
          </c:val>
          <c:smooth val="0"/>
        </c:ser>
        <c:axId val="1266099654"/>
        <c:axId val="570122961"/>
      </c:lineChart>
      <c:catAx>
        <c:axId val="12660996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N-Moves Scrambled Cube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0122961"/>
      </c:catAx>
      <c:valAx>
        <c:axId val="570122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Solve Time (ms)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60996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Phase 1 and Phase 2 EBF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Sheet1!$A$2:$A$1000</c:f>
            </c:strRef>
          </c:cat>
          <c:val>
            <c:numRef>
              <c:f>Sheet1!$E$2:$E$1000</c:f>
              <c:numCache/>
            </c:numRef>
          </c:val>
          <c:smooth val="0"/>
        </c:ser>
        <c:ser>
          <c:idx val="1"/>
          <c:order val="1"/>
          <c:tx>
            <c:strRef>
              <c:f>Sheet1!$K$1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Sheet1!$A$2:$A$1000</c:f>
            </c:strRef>
          </c:cat>
          <c:val>
            <c:numRef>
              <c:f>Sheet1!$K$2:$K$1000</c:f>
              <c:numCache/>
            </c:numRef>
          </c:val>
          <c:smooth val="0"/>
        </c:ser>
        <c:axId val="868487473"/>
        <c:axId val="1135490801"/>
      </c:lineChart>
      <c:catAx>
        <c:axId val="8684874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N-Moves Scrambled Cube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5490801"/>
      </c:catAx>
      <c:valAx>
        <c:axId val="1135490801"/>
        <c:scaling>
          <c:orientation val="minMax"/>
          <c:min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Effective Branching Factor (b*)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84874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133350</xdr:colOff>
      <xdr:row>1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133350</xdr:colOff>
      <xdr:row>19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133350</xdr:colOff>
      <xdr:row>36</xdr:row>
      <xdr:rowOff>133350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>
      <c r="A2" s="1">
        <v>10.0</v>
      </c>
      <c r="B2" s="1">
        <v>237.0</v>
      </c>
      <c r="C2" s="1">
        <v>5415.0</v>
      </c>
      <c r="D2" s="1">
        <v>10.0</v>
      </c>
      <c r="E2" s="2">
        <f t="shared" ref="E2:E32" si="1">C2^(1/D2)</f>
        <v>2.36243488</v>
      </c>
      <c r="H2" s="1">
        <v>19.0</v>
      </c>
      <c r="I2" s="1">
        <v>24887.0</v>
      </c>
      <c r="J2" s="1">
        <v>14.0</v>
      </c>
      <c r="K2" s="2">
        <f t="shared" ref="K2:K32" si="2">I2^(1/J2)</f>
        <v>2.060620609</v>
      </c>
    </row>
    <row r="3">
      <c r="A3" s="1">
        <v>11.0</v>
      </c>
      <c r="B3" s="1">
        <v>741.0</v>
      </c>
      <c r="C3" s="3">
        <v>16866.0</v>
      </c>
      <c r="D3" s="1">
        <v>10.0</v>
      </c>
      <c r="E3" s="2">
        <f t="shared" si="1"/>
        <v>2.646678623</v>
      </c>
      <c r="H3" s="1">
        <v>79.0</v>
      </c>
      <c r="I3" s="1">
        <v>97484.0</v>
      </c>
      <c r="J3" s="1">
        <v>15.0</v>
      </c>
      <c r="K3" s="2">
        <f t="shared" si="2"/>
        <v>2.150777854</v>
      </c>
    </row>
    <row r="4">
      <c r="A4" s="1">
        <v>12.0</v>
      </c>
      <c r="B4" s="1">
        <v>398.0</v>
      </c>
      <c r="C4" s="1">
        <v>9054.0</v>
      </c>
      <c r="D4" s="1">
        <v>10.0</v>
      </c>
      <c r="E4" s="2">
        <f t="shared" si="1"/>
        <v>2.487047323</v>
      </c>
      <c r="H4" s="1">
        <v>3.0</v>
      </c>
      <c r="I4" s="1">
        <v>12532.0</v>
      </c>
      <c r="J4" s="1">
        <v>13.0</v>
      </c>
      <c r="K4" s="2">
        <f t="shared" si="2"/>
        <v>2.066485382</v>
      </c>
    </row>
    <row r="5">
      <c r="A5" s="1">
        <v>13.0</v>
      </c>
      <c r="B5" s="1">
        <v>111.0</v>
      </c>
      <c r="C5" s="3">
        <v>2530.0</v>
      </c>
      <c r="D5" s="1">
        <v>10.0</v>
      </c>
      <c r="E5" s="2">
        <f t="shared" si="1"/>
        <v>2.189334154</v>
      </c>
      <c r="H5" s="1">
        <v>26.0</v>
      </c>
      <c r="I5" s="1">
        <v>30785.0</v>
      </c>
      <c r="J5" s="1">
        <v>13.0</v>
      </c>
      <c r="K5" s="2">
        <f t="shared" si="2"/>
        <v>2.214404005</v>
      </c>
    </row>
    <row r="6">
      <c r="A6" s="1">
        <v>14.0</v>
      </c>
      <c r="B6" s="1">
        <v>52.0</v>
      </c>
      <c r="C6" s="3">
        <v>1200.0</v>
      </c>
      <c r="D6" s="1">
        <v>9.0</v>
      </c>
      <c r="E6" s="2">
        <f t="shared" si="1"/>
        <v>2.198524196</v>
      </c>
      <c r="H6" s="1">
        <v>26.0</v>
      </c>
      <c r="I6" s="1">
        <v>29455.0</v>
      </c>
      <c r="J6" s="1">
        <v>13.0</v>
      </c>
      <c r="K6" s="2">
        <f t="shared" si="2"/>
        <v>2.206893948</v>
      </c>
    </row>
    <row r="7">
      <c r="A7" s="1">
        <v>15.0</v>
      </c>
      <c r="B7" s="1">
        <v>29.0</v>
      </c>
      <c r="C7" s="3">
        <v>655.0</v>
      </c>
      <c r="D7" s="1">
        <v>9.0</v>
      </c>
      <c r="E7" s="2">
        <f t="shared" si="1"/>
        <v>2.05549157</v>
      </c>
      <c r="H7" s="1">
        <v>2.0</v>
      </c>
      <c r="I7" s="1">
        <v>2879.0</v>
      </c>
      <c r="J7" s="1">
        <v>13.0</v>
      </c>
      <c r="K7" s="2">
        <f t="shared" si="2"/>
        <v>1.845421231</v>
      </c>
    </row>
    <row r="8">
      <c r="A8" s="1">
        <v>16.0</v>
      </c>
      <c r="B8" s="1">
        <v>23.0</v>
      </c>
      <c r="C8" s="1">
        <v>538.0</v>
      </c>
      <c r="D8" s="1">
        <v>9.0</v>
      </c>
      <c r="E8" s="2">
        <f t="shared" si="1"/>
        <v>2.011037888</v>
      </c>
      <c r="H8" s="1">
        <v>2.0</v>
      </c>
      <c r="I8" s="1">
        <v>2762.0</v>
      </c>
      <c r="J8" s="1">
        <v>13.0</v>
      </c>
      <c r="K8" s="2">
        <f t="shared" si="2"/>
        <v>1.839541176</v>
      </c>
    </row>
    <row r="9">
      <c r="A9" s="1">
        <v>17.0</v>
      </c>
      <c r="B9" s="1">
        <v>224.0</v>
      </c>
      <c r="C9" s="1">
        <v>5202.0</v>
      </c>
      <c r="D9" s="1">
        <v>10.0</v>
      </c>
      <c r="E9" s="2">
        <f t="shared" si="1"/>
        <v>2.352973493</v>
      </c>
      <c r="H9" s="1">
        <v>54.0</v>
      </c>
      <c r="I9" s="1">
        <v>62167.0</v>
      </c>
      <c r="J9" s="1">
        <v>15.0</v>
      </c>
      <c r="K9" s="2">
        <f t="shared" si="2"/>
        <v>2.087231693</v>
      </c>
    </row>
    <row r="10">
      <c r="A10" s="1">
        <v>18.0</v>
      </c>
      <c r="B10" s="1">
        <v>131.0</v>
      </c>
      <c r="C10" s="1">
        <v>3016.0</v>
      </c>
      <c r="D10" s="1">
        <v>10.0</v>
      </c>
      <c r="E10" s="2">
        <f t="shared" si="1"/>
        <v>2.228143378</v>
      </c>
      <c r="H10" s="1">
        <v>162.0</v>
      </c>
      <c r="I10" s="1">
        <v>179396.0</v>
      </c>
      <c r="J10" s="1">
        <v>15.0</v>
      </c>
      <c r="K10" s="2">
        <f t="shared" si="2"/>
        <v>2.2400318</v>
      </c>
    </row>
    <row r="11">
      <c r="A11" s="1">
        <v>19.0</v>
      </c>
      <c r="B11" s="1">
        <v>135.0</v>
      </c>
      <c r="C11" s="1">
        <v>3113.0</v>
      </c>
      <c r="D11" s="1">
        <v>10.0</v>
      </c>
      <c r="E11" s="2">
        <f t="shared" si="1"/>
        <v>2.23520784</v>
      </c>
      <c r="H11" s="1">
        <v>1.0</v>
      </c>
      <c r="I11" s="1">
        <v>4562.0</v>
      </c>
      <c r="J11" s="1">
        <v>12.0</v>
      </c>
      <c r="K11" s="2">
        <f t="shared" si="2"/>
        <v>2.01803924</v>
      </c>
    </row>
    <row r="12">
      <c r="A12" s="1">
        <v>20.0</v>
      </c>
      <c r="B12" s="1">
        <v>26.0</v>
      </c>
      <c r="C12" s="1">
        <v>604.0</v>
      </c>
      <c r="D12" s="1">
        <v>9.0</v>
      </c>
      <c r="E12" s="2">
        <f t="shared" si="1"/>
        <v>2.037061329</v>
      </c>
      <c r="H12" s="1">
        <v>88.0</v>
      </c>
      <c r="I12" s="1">
        <v>95389.0</v>
      </c>
      <c r="J12" s="1">
        <v>15.0</v>
      </c>
      <c r="K12" s="2">
        <f t="shared" si="2"/>
        <v>2.147665067</v>
      </c>
    </row>
    <row r="13">
      <c r="A13" s="1">
        <v>21.0</v>
      </c>
      <c r="B13" s="1">
        <v>184.0</v>
      </c>
      <c r="C13" s="1">
        <v>4221.0</v>
      </c>
      <c r="D13" s="1">
        <v>10.0</v>
      </c>
      <c r="E13" s="2">
        <f t="shared" si="1"/>
        <v>2.304313346</v>
      </c>
      <c r="H13" s="1">
        <v>23.0</v>
      </c>
      <c r="I13" s="1">
        <v>28666.0</v>
      </c>
      <c r="J13" s="1">
        <v>13.0</v>
      </c>
      <c r="K13" s="2">
        <f t="shared" si="2"/>
        <v>2.202289418</v>
      </c>
    </row>
    <row r="14">
      <c r="A14" s="1">
        <v>22.0</v>
      </c>
      <c r="B14" s="1">
        <v>28.0</v>
      </c>
      <c r="C14" s="1">
        <v>639.0</v>
      </c>
      <c r="D14" s="1">
        <v>9.0</v>
      </c>
      <c r="E14" s="2">
        <f t="shared" si="1"/>
        <v>2.049851111</v>
      </c>
      <c r="H14" s="1">
        <v>2.0</v>
      </c>
      <c r="I14" s="1">
        <v>2491.0</v>
      </c>
      <c r="J14" s="1">
        <v>12.0</v>
      </c>
      <c r="K14" s="2">
        <f t="shared" si="2"/>
        <v>1.918806336</v>
      </c>
    </row>
    <row r="15">
      <c r="A15" s="1">
        <v>23.0</v>
      </c>
      <c r="B15" s="1">
        <v>383.0</v>
      </c>
      <c r="C15" s="1">
        <v>8851.0</v>
      </c>
      <c r="D15" s="1">
        <v>10.0</v>
      </c>
      <c r="E15" s="2">
        <f t="shared" si="1"/>
        <v>2.481414034</v>
      </c>
      <c r="H15" s="1">
        <v>1.0</v>
      </c>
      <c r="I15" s="1">
        <v>10703.0</v>
      </c>
      <c r="J15" s="1">
        <v>12.0</v>
      </c>
      <c r="K15" s="2">
        <f t="shared" si="2"/>
        <v>2.166666792</v>
      </c>
    </row>
    <row r="16">
      <c r="A16" s="1">
        <v>24.0</v>
      </c>
      <c r="B16" s="1">
        <v>537.0</v>
      </c>
      <c r="C16" s="1">
        <v>12421.0</v>
      </c>
      <c r="D16" s="1">
        <v>10.0</v>
      </c>
      <c r="E16" s="2">
        <f t="shared" si="1"/>
        <v>2.566939637</v>
      </c>
      <c r="H16" s="1">
        <v>4.0</v>
      </c>
      <c r="I16" s="1">
        <v>16215.0</v>
      </c>
      <c r="J16" s="1">
        <v>12.0</v>
      </c>
      <c r="K16" s="2">
        <f t="shared" si="2"/>
        <v>2.242985225</v>
      </c>
    </row>
    <row r="17">
      <c r="A17" s="1">
        <v>25.0</v>
      </c>
      <c r="B17" s="1">
        <v>584.0</v>
      </c>
      <c r="C17" s="1">
        <v>13428.0</v>
      </c>
      <c r="D17" s="1">
        <v>10.0</v>
      </c>
      <c r="E17" s="2">
        <f t="shared" si="1"/>
        <v>2.587028024</v>
      </c>
      <c r="H17" s="1">
        <v>28.0</v>
      </c>
      <c r="I17" s="1">
        <v>43061.0</v>
      </c>
      <c r="J17" s="1">
        <v>13.0</v>
      </c>
      <c r="K17" s="2">
        <f t="shared" si="2"/>
        <v>2.272312244</v>
      </c>
    </row>
    <row r="18">
      <c r="A18" s="1">
        <v>26.0</v>
      </c>
      <c r="B18" s="1">
        <v>699.0</v>
      </c>
      <c r="C18" s="1">
        <v>16120.0</v>
      </c>
      <c r="D18" s="1">
        <v>10.0</v>
      </c>
      <c r="E18" s="2">
        <f t="shared" si="1"/>
        <v>2.634732349</v>
      </c>
      <c r="H18" s="1">
        <v>31.0</v>
      </c>
      <c r="I18" s="1">
        <v>47626.0</v>
      </c>
      <c r="J18" s="1">
        <v>14.0</v>
      </c>
      <c r="K18" s="2">
        <f t="shared" si="2"/>
        <v>2.158398955</v>
      </c>
    </row>
    <row r="19">
      <c r="A19" s="1">
        <v>27.0</v>
      </c>
      <c r="B19" s="1">
        <v>1049.0</v>
      </c>
      <c r="C19" s="1">
        <v>24116.0</v>
      </c>
      <c r="D19" s="1">
        <v>10.0</v>
      </c>
      <c r="E19" s="2">
        <f t="shared" si="1"/>
        <v>2.743029811</v>
      </c>
      <c r="H19" s="1">
        <v>3.0</v>
      </c>
      <c r="I19" s="1">
        <v>27194.0</v>
      </c>
      <c r="J19" s="1">
        <v>13.0</v>
      </c>
      <c r="K19" s="2">
        <f t="shared" si="2"/>
        <v>2.19337715</v>
      </c>
    </row>
    <row r="20">
      <c r="A20" s="1">
        <v>28.0</v>
      </c>
      <c r="B20" s="1">
        <v>961.0</v>
      </c>
      <c r="C20" s="1">
        <v>22127.0</v>
      </c>
      <c r="D20" s="1">
        <v>10.0</v>
      </c>
      <c r="E20" s="2">
        <f t="shared" si="1"/>
        <v>2.719519978</v>
      </c>
      <c r="H20" s="1">
        <v>45.0</v>
      </c>
      <c r="I20" s="1">
        <v>68765.0</v>
      </c>
      <c r="J20" s="1">
        <v>14.0</v>
      </c>
      <c r="K20" s="2">
        <f t="shared" si="2"/>
        <v>2.215778001</v>
      </c>
    </row>
    <row r="21">
      <c r="A21" s="1">
        <v>29.0</v>
      </c>
      <c r="B21" s="1">
        <v>711.0</v>
      </c>
      <c r="C21" s="1">
        <v>16440.0</v>
      </c>
      <c r="D21" s="1">
        <v>10.0</v>
      </c>
      <c r="E21" s="2">
        <f t="shared" si="1"/>
        <v>2.639916445</v>
      </c>
      <c r="H21" s="1">
        <v>3.0</v>
      </c>
      <c r="I21" s="1">
        <v>20144.0</v>
      </c>
      <c r="J21" s="1">
        <v>13.0</v>
      </c>
      <c r="K21" s="2">
        <f t="shared" si="2"/>
        <v>2.143325504</v>
      </c>
    </row>
    <row r="22">
      <c r="A22" s="1">
        <v>30.0</v>
      </c>
      <c r="B22" s="1">
        <v>1040.0</v>
      </c>
      <c r="C22" s="1">
        <v>24077.0</v>
      </c>
      <c r="D22" s="1">
        <v>10.0</v>
      </c>
      <c r="E22" s="2">
        <f t="shared" si="1"/>
        <v>2.74258589</v>
      </c>
      <c r="H22" s="1">
        <v>2.0</v>
      </c>
      <c r="I22" s="1">
        <v>26584.0</v>
      </c>
      <c r="J22" s="1">
        <v>12.0</v>
      </c>
      <c r="K22" s="2">
        <f t="shared" si="2"/>
        <v>2.337320998</v>
      </c>
    </row>
    <row r="23">
      <c r="A23" s="1">
        <v>31.0</v>
      </c>
      <c r="B23" s="1">
        <v>252.0</v>
      </c>
      <c r="C23" s="1">
        <v>5857.0</v>
      </c>
      <c r="D23" s="1">
        <v>9.0</v>
      </c>
      <c r="E23" s="2">
        <f t="shared" si="1"/>
        <v>2.62198728</v>
      </c>
      <c r="H23" s="1">
        <v>2.0</v>
      </c>
      <c r="I23" s="1">
        <v>8364.0</v>
      </c>
      <c r="J23" s="1">
        <v>12.0</v>
      </c>
      <c r="K23" s="2">
        <f t="shared" si="2"/>
        <v>2.122598414</v>
      </c>
    </row>
    <row r="24">
      <c r="A24" s="1">
        <v>32.0</v>
      </c>
      <c r="B24" s="1">
        <v>11.0</v>
      </c>
      <c r="C24" s="1">
        <v>255.0</v>
      </c>
      <c r="D24" s="1">
        <v>9.0</v>
      </c>
      <c r="E24" s="2">
        <f t="shared" si="1"/>
        <v>1.850944315</v>
      </c>
      <c r="H24" s="1">
        <v>18.0</v>
      </c>
      <c r="I24" s="1">
        <v>18681.0</v>
      </c>
      <c r="J24" s="1">
        <v>14.0</v>
      </c>
      <c r="K24" s="2">
        <f t="shared" si="2"/>
        <v>2.018831203</v>
      </c>
    </row>
    <row r="25">
      <c r="A25" s="1">
        <v>33.0</v>
      </c>
      <c r="B25" s="1">
        <v>6.0</v>
      </c>
      <c r="C25" s="1">
        <v>137.0</v>
      </c>
      <c r="D25" s="1">
        <v>8.0</v>
      </c>
      <c r="E25" s="2">
        <f t="shared" si="1"/>
        <v>1.849652189</v>
      </c>
      <c r="H25" s="1">
        <v>22.0</v>
      </c>
      <c r="I25" s="1">
        <v>24138.0</v>
      </c>
      <c r="J25" s="1">
        <v>13.0</v>
      </c>
      <c r="K25" s="2">
        <f t="shared" si="2"/>
        <v>2.173355987</v>
      </c>
    </row>
    <row r="26">
      <c r="A26" s="1">
        <v>34.0</v>
      </c>
      <c r="B26" s="1">
        <v>32.0</v>
      </c>
      <c r="C26" s="1">
        <v>738.0</v>
      </c>
      <c r="D26" s="1">
        <v>9.0</v>
      </c>
      <c r="E26" s="2">
        <f t="shared" si="1"/>
        <v>2.082921626</v>
      </c>
      <c r="H26" s="1">
        <v>24.0</v>
      </c>
      <c r="I26" s="1">
        <v>25062.0</v>
      </c>
      <c r="J26" s="1">
        <v>14.0</v>
      </c>
      <c r="K26" s="2">
        <f t="shared" si="2"/>
        <v>2.061652234</v>
      </c>
    </row>
    <row r="27">
      <c r="A27" s="1">
        <v>35.0</v>
      </c>
      <c r="B27" s="1">
        <v>3.0</v>
      </c>
      <c r="C27" s="1">
        <v>78.0</v>
      </c>
      <c r="D27" s="1">
        <v>8.0</v>
      </c>
      <c r="E27" s="2">
        <f t="shared" si="1"/>
        <v>1.72389903</v>
      </c>
      <c r="H27" s="1">
        <v>23.0</v>
      </c>
      <c r="I27" s="1">
        <v>24079.0</v>
      </c>
      <c r="J27" s="1">
        <v>13.0</v>
      </c>
      <c r="K27" s="2">
        <f t="shared" si="2"/>
        <v>2.172946888</v>
      </c>
    </row>
    <row r="28">
      <c r="A28" s="1">
        <v>36.0</v>
      </c>
      <c r="B28" s="1">
        <v>21.0</v>
      </c>
      <c r="C28" s="1">
        <v>478.0</v>
      </c>
      <c r="D28" s="1">
        <v>9.0</v>
      </c>
      <c r="E28" s="2">
        <f t="shared" si="1"/>
        <v>1.984788389</v>
      </c>
      <c r="H28" s="1">
        <v>22.0</v>
      </c>
      <c r="I28" s="1">
        <v>24479.0</v>
      </c>
      <c r="J28" s="1">
        <v>13.0</v>
      </c>
      <c r="K28" s="2">
        <f t="shared" si="2"/>
        <v>2.175702512</v>
      </c>
    </row>
    <row r="29">
      <c r="A29" s="1">
        <v>37.0</v>
      </c>
      <c r="B29" s="1">
        <v>102.0</v>
      </c>
      <c r="C29" s="1">
        <v>2277.0</v>
      </c>
      <c r="D29" s="1">
        <v>10.0</v>
      </c>
      <c r="E29" s="2">
        <f t="shared" si="1"/>
        <v>2.166388308</v>
      </c>
      <c r="H29" s="1">
        <v>9.0</v>
      </c>
      <c r="I29" s="1">
        <v>11740.0</v>
      </c>
      <c r="J29" s="1">
        <v>13.0</v>
      </c>
      <c r="K29" s="2">
        <f t="shared" si="2"/>
        <v>2.056133893</v>
      </c>
    </row>
    <row r="30">
      <c r="A30" s="1">
        <v>38.0</v>
      </c>
      <c r="B30" s="1">
        <v>34.0</v>
      </c>
      <c r="C30" s="1">
        <v>776.0</v>
      </c>
      <c r="D30" s="1">
        <v>9.0</v>
      </c>
      <c r="E30" s="2">
        <f t="shared" si="1"/>
        <v>2.094574186</v>
      </c>
      <c r="H30" s="1">
        <v>112.0</v>
      </c>
      <c r="I30" s="1">
        <v>120470.0</v>
      </c>
      <c r="J30" s="1">
        <v>15.0</v>
      </c>
      <c r="K30" s="2">
        <f t="shared" si="2"/>
        <v>2.18134953</v>
      </c>
    </row>
    <row r="31">
      <c r="A31" s="1">
        <v>39.0</v>
      </c>
      <c r="B31" s="1">
        <v>12.0</v>
      </c>
      <c r="C31" s="1">
        <v>287.0</v>
      </c>
      <c r="D31" s="1">
        <v>9.0</v>
      </c>
      <c r="E31" s="2">
        <f t="shared" si="1"/>
        <v>1.875417605</v>
      </c>
      <c r="H31" s="1">
        <v>148.0</v>
      </c>
      <c r="I31" s="1">
        <v>162154.0</v>
      </c>
      <c r="J31" s="1">
        <v>15.0</v>
      </c>
      <c r="K31" s="2">
        <f t="shared" si="2"/>
        <v>2.224992293</v>
      </c>
    </row>
    <row r="32">
      <c r="A32" s="1">
        <v>40.0</v>
      </c>
      <c r="B32" s="1">
        <v>7.0</v>
      </c>
      <c r="C32" s="1">
        <v>161.0</v>
      </c>
      <c r="D32" s="1">
        <v>8.0</v>
      </c>
      <c r="E32" s="2">
        <f t="shared" si="1"/>
        <v>1.887353429</v>
      </c>
      <c r="H32" s="1">
        <v>147.0</v>
      </c>
      <c r="I32" s="1">
        <v>162028.0</v>
      </c>
      <c r="J32" s="1">
        <v>15.0</v>
      </c>
      <c r="K32" s="2">
        <f t="shared" si="2"/>
        <v>2.224876991</v>
      </c>
    </row>
    <row r="34">
      <c r="E34" s="1" t="s">
        <v>9</v>
      </c>
      <c r="K34" s="1" t="s">
        <v>9</v>
      </c>
    </row>
    <row r="35">
      <c r="E35" s="2">
        <f>PRODUCT(E2:E32)^(1/COUNTA(E2:E32))</f>
        <v>2.251159181</v>
      </c>
      <c r="K35" s="2">
        <f>PRODUCT(K2:K32)^(1/COUNTA(K2:K32))</f>
        <v>2.130406061</v>
      </c>
    </row>
  </sheetData>
  <drawing r:id="rId1"/>
</worksheet>
</file>